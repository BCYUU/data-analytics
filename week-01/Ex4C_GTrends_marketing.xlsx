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C05F\EXCELCNV\863180c0-e39c-4068-86f4-b187d58a69ed\"/>
    </mc:Choice>
  </mc:AlternateContent>
  <xr:revisionPtr revIDLastSave="0" documentId="8_{A1145202-248C-49A4-99F4-E56C76282837}" xr6:coauthVersionLast="47" xr6:coauthVersionMax="47" xr10:uidLastSave="{00000000-0000-0000-0000-000000000000}"/>
  <bookViews>
    <workbookView xWindow="-60" yWindow="-60" windowWidth="15480" windowHeight="11640" activeTab="2" xr2:uid="{C19CCAB6-B8B2-4A13-9C26-15581BE1B759}"/>
  </bookViews>
  <sheets>
    <sheet name="by search term" sheetId="1" r:id="rId1"/>
    <sheet name="by state" sheetId="2" r:id="rId2"/>
    <sheet name="sales region lookup" sheetId="3" r:id="rId3"/>
  </sheets>
  <externalReferences>
    <externalReference r:id="rId4"/>
  </externalReferences>
  <definedNames>
    <definedName name="_xlnm._FilterDatabase" localSheetId="0" hidden="1">'by search term'!$A$1:$E$54</definedName>
  </definedNames>
  <calcPr calcId="191028"/>
  <pivotCaches>
    <pivotCache cacheId="28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2" i="3"/>
  <c r="D3" i="3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<sst xmlns="http://schemas.openxmlformats.org/spreadsheetml/2006/main" count="156" uniqueCount="71">
  <si>
    <t>Region ID</t>
  </si>
  <si>
    <t>Region</t>
  </si>
  <si>
    <t xml:space="preserve">Hamburger: </t>
  </si>
  <si>
    <t xml:space="preserve">Milkshake: </t>
  </si>
  <si>
    <t xml:space="preserve">Breakup: </t>
  </si>
  <si>
    <t># of Regions</t>
  </si>
  <si>
    <t>date range</t>
  </si>
  <si>
    <t xml:space="preserve">2/1/24 - 2/28/25 </t>
  </si>
  <si>
    <t>South Dakota</t>
  </si>
  <si>
    <t>Montana</t>
  </si>
  <si>
    <t>Hawaii</t>
  </si>
  <si>
    <t>Alaska</t>
  </si>
  <si>
    <t>Wyoming</t>
  </si>
  <si>
    <t>Vermont</t>
  </si>
  <si>
    <t>North Dakota</t>
  </si>
  <si>
    <t>Maine</t>
  </si>
  <si>
    <t>Oregon</t>
  </si>
  <si>
    <t>Oklahoma</t>
  </si>
  <si>
    <t>Nebraska</t>
  </si>
  <si>
    <t>Washington</t>
  </si>
  <si>
    <t>New Mexico</t>
  </si>
  <si>
    <t>Mississippi</t>
  </si>
  <si>
    <t>Minnesota</t>
  </si>
  <si>
    <t>Colorado</t>
  </si>
  <si>
    <t>Texas</t>
  </si>
  <si>
    <t>Nevada</t>
  </si>
  <si>
    <t>Michigan</t>
  </si>
  <si>
    <t>Kansas</t>
  </si>
  <si>
    <t>Iowa</t>
  </si>
  <si>
    <t>Idaho</t>
  </si>
  <si>
    <t>Arizona</t>
  </si>
  <si>
    <t>Wisconsin</t>
  </si>
  <si>
    <t>Utah</t>
  </si>
  <si>
    <t>Missouri</t>
  </si>
  <si>
    <t>Louisiana</t>
  </si>
  <si>
    <t>Indiana</t>
  </si>
  <si>
    <t>District of Columbia</t>
  </si>
  <si>
    <t>Arkansas</t>
  </si>
  <si>
    <t>Tennessee</t>
  </si>
  <si>
    <t>South Carolina</t>
  </si>
  <si>
    <t>New Hampshire</t>
  </si>
  <si>
    <t>California</t>
  </si>
  <si>
    <t>Alabama</t>
  </si>
  <si>
    <t>North Carolina</t>
  </si>
  <si>
    <t>Connecticut</t>
  </si>
  <si>
    <t>West Virginia</t>
  </si>
  <si>
    <t>Virginia</t>
  </si>
  <si>
    <t>Rhode Island</t>
  </si>
  <si>
    <t>Ohio</t>
  </si>
  <si>
    <t>New York</t>
  </si>
  <si>
    <t>Kentucky</t>
  </si>
  <si>
    <t>Illinois</t>
  </si>
  <si>
    <t>Georgia</t>
  </si>
  <si>
    <t>Florida</t>
  </si>
  <si>
    <t>Pennsylvania</t>
  </si>
  <si>
    <t>New Jersey</t>
  </si>
  <si>
    <t>Massachusetts</t>
  </si>
  <si>
    <t>Delaware</t>
  </si>
  <si>
    <t>Maryland</t>
  </si>
  <si>
    <t>State</t>
  </si>
  <si>
    <t>Sales Region</t>
  </si>
  <si>
    <t>Hamburger</t>
  </si>
  <si>
    <t>Milkshake</t>
  </si>
  <si>
    <t>Breakup</t>
  </si>
  <si>
    <t>Data Analytics Friend was showing me how to use INDEX</t>
  </si>
  <si>
    <t>Northwest</t>
  </si>
  <si>
    <t>North Central</t>
  </si>
  <si>
    <t>(All)</t>
  </si>
  <si>
    <t>Sum of Hamburger</t>
  </si>
  <si>
    <t>Sum of Milkshake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</si>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</sst>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9-45B9-A5B4-12EE7080E31B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89-45B9-A5B4-12EE7080E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67048"/>
        <c:axId val="199769096"/>
      </c:barChart>
      <c:catAx>
        <c:axId val="19976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9096"/>
        <c:crosses val="autoZero"/>
        <c:auto val="1"/>
        <c:lblAlgn val="ctr"/>
        <c:lblOffset val="100"/>
        <c:noMultiLvlLbl val="0"/>
      </c:catAx>
      <c:valAx>
        <c:axId val="19976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13</xdr:row>
      <xdr:rowOff>161925</xdr:rowOff>
    </xdr:from>
    <xdr:to>
      <xdr:col>9</xdr:col>
      <xdr:colOff>104775</xdr:colOff>
      <xdr:row>28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88EDA-CF8F-3DD7-4F83-B076921D8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%20region%20look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region lookup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0.783176504628" createdVersion="8" refreshedVersion="8" minRefreshableVersion="3" recordCount="10" xr:uid="{503A1781-C880-4D23-AA48-89825FE7BE0B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7"/>
    <n v="0.2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8"/>
    <n v="0.19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1F99D-3647-437C-9FE3-D6A67B40909A}" name="PivotTable1" cacheId="2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5:C26" firstHeaderRow="0" firstDataRow="1" firstDataCol="1" rowPageCount="1" colPageCount="1"/>
  <pivotFields count="4">
    <pivotField axis="axisRow" compact="0" outline="0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compact="0" outline="0" showAll="0">
      <items count="3">
        <item x="1"/>
        <item x="0"/>
        <item t="default"/>
      </items>
    </pivotField>
    <pivotField dataField="1" compact="0" numFmtId="9" outline="0" showAll="0"/>
    <pivotField dataField="1" compact="0" numFmtId="9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A360-00E6-4434-98F7-4B5BAE9E9617}">
  <dimension ref="A1:K52"/>
  <sheetViews>
    <sheetView workbookViewId="0">
      <pane ySplit="1" topLeftCell="A2" activePane="bottomLeft" state="frozen"/>
      <selection pane="bottomLeft" activeCell="C5" sqref="C5"/>
    </sheetView>
  </sheetViews>
  <sheetFormatPr defaultRowHeight="15"/>
  <cols>
    <col min="1" max="1" width="24.85546875" customWidth="1"/>
    <col min="2" max="2" width="20.85546875" customWidth="1"/>
    <col min="3" max="3" width="14.42578125" bestFit="1" customWidth="1"/>
    <col min="4" max="4" width="13.28515625" bestFit="1" customWidth="1"/>
    <col min="5" max="5" width="11.7109375" bestFit="1" customWidth="1"/>
    <col min="7" max="7" width="11.5703125" customWidth="1"/>
    <col min="8" max="8" width="6.28515625" customWidth="1"/>
    <col min="9" max="9" width="9.140625" customWidth="1"/>
    <col min="10" max="10" width="10.5703125" bestFit="1" customWidth="1"/>
    <col min="11" max="11" width="16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3" t="s">
        <v>7</v>
      </c>
    </row>
    <row r="2" spans="1:11">
      <c r="A2">
        <v>42</v>
      </c>
      <c r="B2" t="s">
        <v>8</v>
      </c>
      <c r="C2" s="1">
        <v>0.75</v>
      </c>
      <c r="D2" s="1">
        <v>0.14000000000000001</v>
      </c>
      <c r="E2" s="1">
        <v>0.11</v>
      </c>
    </row>
    <row r="3" spans="1:11">
      <c r="A3">
        <v>27</v>
      </c>
      <c r="B3" t="s">
        <v>9</v>
      </c>
      <c r="C3" s="1">
        <v>0.75</v>
      </c>
      <c r="D3" s="1">
        <v>0.14000000000000001</v>
      </c>
      <c r="E3" s="1">
        <v>0.11</v>
      </c>
    </row>
    <row r="4" spans="1:11">
      <c r="A4">
        <v>12</v>
      </c>
      <c r="B4" t="s">
        <v>10</v>
      </c>
      <c r="C4" s="1">
        <v>0.72</v>
      </c>
      <c r="D4" s="1">
        <v>0.15</v>
      </c>
      <c r="E4" s="1">
        <v>0.13</v>
      </c>
    </row>
    <row r="5" spans="1:11">
      <c r="A5">
        <v>2</v>
      </c>
      <c r="B5" t="s">
        <v>11</v>
      </c>
      <c r="C5" s="1">
        <v>0.72</v>
      </c>
      <c r="D5" s="1">
        <v>0.15</v>
      </c>
      <c r="E5" s="1">
        <v>0.13</v>
      </c>
    </row>
    <row r="6" spans="1:11">
      <c r="A6">
        <v>51</v>
      </c>
      <c r="B6" t="s">
        <v>12</v>
      </c>
      <c r="C6" s="1">
        <v>0.71</v>
      </c>
      <c r="D6" s="1">
        <v>0.16</v>
      </c>
      <c r="E6" s="1">
        <v>0.13</v>
      </c>
    </row>
    <row r="7" spans="1:11">
      <c r="A7">
        <v>46</v>
      </c>
      <c r="B7" t="s">
        <v>13</v>
      </c>
      <c r="C7" s="1">
        <v>0.7</v>
      </c>
      <c r="D7" s="1">
        <v>0.16</v>
      </c>
      <c r="E7" s="1">
        <v>0.14000000000000001</v>
      </c>
    </row>
    <row r="8" spans="1:11">
      <c r="A8">
        <v>35</v>
      </c>
      <c r="B8" t="s">
        <v>14</v>
      </c>
      <c r="C8" s="1">
        <v>0.7</v>
      </c>
      <c r="D8" s="1">
        <v>0.18</v>
      </c>
      <c r="E8" s="1">
        <v>0.12</v>
      </c>
    </row>
    <row r="9" spans="1:11">
      <c r="A9">
        <v>20</v>
      </c>
      <c r="B9" t="s">
        <v>15</v>
      </c>
      <c r="C9" s="1">
        <v>0.7</v>
      </c>
      <c r="D9" s="1">
        <v>0.17</v>
      </c>
      <c r="E9" s="1">
        <v>0.13</v>
      </c>
    </row>
    <row r="10" spans="1:11">
      <c r="A10">
        <v>38</v>
      </c>
      <c r="B10" t="s">
        <v>16</v>
      </c>
      <c r="C10" s="1">
        <v>0.69</v>
      </c>
      <c r="D10" s="1">
        <v>0.17</v>
      </c>
      <c r="E10" s="1">
        <v>0.14000000000000001</v>
      </c>
    </row>
    <row r="11" spans="1:11">
      <c r="A11">
        <v>37</v>
      </c>
      <c r="B11" t="s">
        <v>17</v>
      </c>
      <c r="C11" s="1">
        <v>0.69</v>
      </c>
      <c r="D11" s="1">
        <v>0.19</v>
      </c>
      <c r="E11" s="1">
        <v>0.12</v>
      </c>
    </row>
    <row r="12" spans="1:11">
      <c r="A12">
        <v>28</v>
      </c>
      <c r="B12" t="s">
        <v>18</v>
      </c>
      <c r="C12" s="1">
        <v>0.69</v>
      </c>
      <c r="D12" s="1">
        <v>0.18</v>
      </c>
      <c r="E12" s="1">
        <v>0.13</v>
      </c>
    </row>
    <row r="13" spans="1:11">
      <c r="A13">
        <v>48</v>
      </c>
      <c r="B13" t="s">
        <v>19</v>
      </c>
      <c r="C13" s="1">
        <v>0.68</v>
      </c>
      <c r="D13" s="1">
        <v>0.18</v>
      </c>
      <c r="E13" s="1">
        <v>0.14000000000000001</v>
      </c>
    </row>
    <row r="14" spans="1:11">
      <c r="A14">
        <v>32</v>
      </c>
      <c r="B14" t="s">
        <v>20</v>
      </c>
      <c r="C14" s="1">
        <v>0.68</v>
      </c>
      <c r="D14" s="1">
        <v>0.18</v>
      </c>
      <c r="E14" s="1">
        <v>0.14000000000000001</v>
      </c>
    </row>
    <row r="15" spans="1:11">
      <c r="A15">
        <v>25</v>
      </c>
      <c r="B15" t="s">
        <v>21</v>
      </c>
      <c r="C15" s="1">
        <v>0.68</v>
      </c>
      <c r="D15" s="1">
        <v>0.2</v>
      </c>
      <c r="E15" s="1">
        <v>0.12</v>
      </c>
    </row>
    <row r="16" spans="1:11">
      <c r="A16">
        <v>24</v>
      </c>
      <c r="B16" t="s">
        <v>22</v>
      </c>
      <c r="C16" s="1">
        <v>0.68</v>
      </c>
      <c r="D16" s="1">
        <v>0.19</v>
      </c>
      <c r="E16" s="1">
        <v>0.13</v>
      </c>
    </row>
    <row r="17" spans="1:5">
      <c r="A17">
        <v>6</v>
      </c>
      <c r="B17" t="s">
        <v>23</v>
      </c>
      <c r="C17" s="1">
        <v>0.68</v>
      </c>
      <c r="D17" s="1">
        <v>0.18</v>
      </c>
      <c r="E17" s="1">
        <v>0.14000000000000001</v>
      </c>
    </row>
    <row r="18" spans="1:5">
      <c r="A18">
        <v>44</v>
      </c>
      <c r="B18" t="s">
        <v>24</v>
      </c>
      <c r="C18" s="1">
        <v>0.67</v>
      </c>
      <c r="D18" s="1">
        <v>0.2</v>
      </c>
      <c r="E18" s="1">
        <v>0.13</v>
      </c>
    </row>
    <row r="19" spans="1:5">
      <c r="A19">
        <v>29</v>
      </c>
      <c r="B19" t="s">
        <v>25</v>
      </c>
      <c r="C19" s="1">
        <v>0.67</v>
      </c>
      <c r="D19" s="1">
        <v>0.2</v>
      </c>
      <c r="E19" s="1">
        <v>0.13</v>
      </c>
    </row>
    <row r="20" spans="1:5">
      <c r="A20">
        <v>23</v>
      </c>
      <c r="B20" t="s">
        <v>26</v>
      </c>
      <c r="C20" s="1">
        <v>0.67</v>
      </c>
      <c r="D20" s="1">
        <v>0.2</v>
      </c>
      <c r="E20" s="1">
        <v>0.13</v>
      </c>
    </row>
    <row r="21" spans="1:5">
      <c r="A21">
        <v>17</v>
      </c>
      <c r="B21" t="s">
        <v>27</v>
      </c>
      <c r="C21" s="1">
        <v>0.67</v>
      </c>
      <c r="D21" s="1">
        <v>0.19</v>
      </c>
      <c r="E21" s="1">
        <v>0.14000000000000001</v>
      </c>
    </row>
    <row r="22" spans="1:5">
      <c r="A22">
        <v>16</v>
      </c>
      <c r="B22" t="s">
        <v>28</v>
      </c>
      <c r="C22" s="1">
        <v>0.67</v>
      </c>
      <c r="D22" s="1">
        <v>0.2</v>
      </c>
      <c r="E22" s="1">
        <v>0.13</v>
      </c>
    </row>
    <row r="23" spans="1:5">
      <c r="A23">
        <v>13</v>
      </c>
      <c r="B23" t="s">
        <v>29</v>
      </c>
      <c r="C23" s="1">
        <v>0.67</v>
      </c>
      <c r="D23" s="1">
        <v>0.2</v>
      </c>
      <c r="E23" s="1">
        <v>0.13</v>
      </c>
    </row>
    <row r="24" spans="1:5">
      <c r="A24">
        <v>3</v>
      </c>
      <c r="B24" t="s">
        <v>30</v>
      </c>
      <c r="C24" s="1">
        <v>0.67</v>
      </c>
      <c r="D24" s="1">
        <v>0.2</v>
      </c>
      <c r="E24" s="1">
        <v>0.13</v>
      </c>
    </row>
    <row r="25" spans="1:5">
      <c r="A25">
        <v>50</v>
      </c>
      <c r="B25" t="s">
        <v>31</v>
      </c>
      <c r="C25" s="1">
        <v>0.66</v>
      </c>
      <c r="D25" s="1">
        <v>0.2</v>
      </c>
      <c r="E25" s="1">
        <v>0.14000000000000001</v>
      </c>
    </row>
    <row r="26" spans="1:5">
      <c r="A26">
        <v>45</v>
      </c>
      <c r="B26" t="s">
        <v>32</v>
      </c>
      <c r="C26" s="1">
        <v>0.66</v>
      </c>
      <c r="D26" s="1">
        <v>0.21</v>
      </c>
      <c r="E26" s="1">
        <v>0.13</v>
      </c>
    </row>
    <row r="27" spans="1:5">
      <c r="A27">
        <v>26</v>
      </c>
      <c r="B27" t="s">
        <v>33</v>
      </c>
      <c r="C27" s="1">
        <v>0.66</v>
      </c>
      <c r="D27" s="1">
        <v>0.2</v>
      </c>
      <c r="E27" s="1">
        <v>0.14000000000000001</v>
      </c>
    </row>
    <row r="28" spans="1:5">
      <c r="A28">
        <v>19</v>
      </c>
      <c r="B28" t="s">
        <v>34</v>
      </c>
      <c r="C28" s="1">
        <v>0.66</v>
      </c>
      <c r="D28" s="1">
        <v>0.21</v>
      </c>
      <c r="E28" s="1">
        <v>0.13</v>
      </c>
    </row>
    <row r="29" spans="1:5">
      <c r="A29">
        <v>15</v>
      </c>
      <c r="B29" t="s">
        <v>35</v>
      </c>
      <c r="C29" s="1">
        <v>0.66</v>
      </c>
      <c r="D29" s="1">
        <v>0.21</v>
      </c>
      <c r="E29" s="1">
        <v>0.13</v>
      </c>
    </row>
    <row r="30" spans="1:5">
      <c r="A30">
        <v>9</v>
      </c>
      <c r="B30" t="s">
        <v>36</v>
      </c>
      <c r="C30" s="1">
        <v>0.66</v>
      </c>
      <c r="D30" s="1">
        <v>0.17</v>
      </c>
      <c r="E30" s="1">
        <v>0.17</v>
      </c>
    </row>
    <row r="31" spans="1:5">
      <c r="A31">
        <v>4</v>
      </c>
      <c r="B31" t="s">
        <v>37</v>
      </c>
      <c r="C31" s="1">
        <v>0.66</v>
      </c>
      <c r="D31" s="1">
        <v>0.22</v>
      </c>
      <c r="E31" s="1">
        <v>0.12</v>
      </c>
    </row>
    <row r="32" spans="1:5">
      <c r="A32">
        <v>43</v>
      </c>
      <c r="B32" t="s">
        <v>38</v>
      </c>
      <c r="C32" s="1">
        <v>0.65</v>
      </c>
      <c r="D32" s="1">
        <v>0.22</v>
      </c>
      <c r="E32" s="1">
        <v>0.13</v>
      </c>
    </row>
    <row r="33" spans="1:5">
      <c r="A33">
        <v>41</v>
      </c>
      <c r="B33" t="s">
        <v>39</v>
      </c>
      <c r="C33" s="1">
        <v>0.65</v>
      </c>
      <c r="D33" s="1">
        <v>0.23</v>
      </c>
      <c r="E33" s="1">
        <v>0.12</v>
      </c>
    </row>
    <row r="34" spans="1:5">
      <c r="A34">
        <v>30</v>
      </c>
      <c r="B34" t="s">
        <v>40</v>
      </c>
      <c r="C34" s="1">
        <v>0.65</v>
      </c>
      <c r="D34" s="1">
        <v>0.21</v>
      </c>
      <c r="E34" s="1">
        <v>0.14000000000000001</v>
      </c>
    </row>
    <row r="35" spans="1:5">
      <c r="A35">
        <v>5</v>
      </c>
      <c r="B35" t="s">
        <v>41</v>
      </c>
      <c r="C35" s="1">
        <v>0.65</v>
      </c>
      <c r="D35" s="1">
        <v>0.2</v>
      </c>
      <c r="E35" s="1">
        <v>0.15</v>
      </c>
    </row>
    <row r="36" spans="1:5">
      <c r="A36">
        <v>1</v>
      </c>
      <c r="B36" t="s">
        <v>42</v>
      </c>
      <c r="C36" s="1">
        <v>0.65</v>
      </c>
      <c r="D36" s="1">
        <v>0.23</v>
      </c>
      <c r="E36" s="1">
        <v>0.12</v>
      </c>
    </row>
    <row r="37" spans="1:5">
      <c r="A37">
        <v>34</v>
      </c>
      <c r="B37" t="s">
        <v>43</v>
      </c>
      <c r="C37" s="1">
        <v>0.64</v>
      </c>
      <c r="D37" s="1">
        <v>0.24</v>
      </c>
      <c r="E37" s="1">
        <v>0.12</v>
      </c>
    </row>
    <row r="38" spans="1:5">
      <c r="A38">
        <v>7</v>
      </c>
      <c r="B38" t="s">
        <v>44</v>
      </c>
      <c r="C38" s="1">
        <v>0.64</v>
      </c>
      <c r="D38" s="1">
        <v>0.22</v>
      </c>
      <c r="E38" s="1">
        <v>0.14000000000000001</v>
      </c>
    </row>
    <row r="39" spans="1:5">
      <c r="A39">
        <v>49</v>
      </c>
      <c r="B39" t="s">
        <v>45</v>
      </c>
      <c r="C39" s="1">
        <v>0.63</v>
      </c>
      <c r="D39" s="1">
        <v>0.24</v>
      </c>
      <c r="E39" s="1">
        <v>0.13</v>
      </c>
    </row>
    <row r="40" spans="1:5">
      <c r="A40">
        <v>47</v>
      </c>
      <c r="B40" t="s">
        <v>46</v>
      </c>
      <c r="C40" s="1">
        <v>0.63</v>
      </c>
      <c r="D40" s="1">
        <v>0.24</v>
      </c>
      <c r="E40" s="1">
        <v>0.13</v>
      </c>
    </row>
    <row r="41" spans="1:5">
      <c r="A41">
        <v>40</v>
      </c>
      <c r="B41" t="s">
        <v>47</v>
      </c>
      <c r="C41" s="1">
        <v>0.63</v>
      </c>
      <c r="D41" s="1">
        <v>0.24</v>
      </c>
      <c r="E41" s="1">
        <v>0.13</v>
      </c>
    </row>
    <row r="42" spans="1:5">
      <c r="A42">
        <v>36</v>
      </c>
      <c r="B42" t="s">
        <v>48</v>
      </c>
      <c r="C42" s="1">
        <v>0.63</v>
      </c>
      <c r="D42" s="1">
        <v>0.23</v>
      </c>
      <c r="E42" s="1">
        <v>0.14000000000000001</v>
      </c>
    </row>
    <row r="43" spans="1:5">
      <c r="A43">
        <v>33</v>
      </c>
      <c r="B43" t="s">
        <v>49</v>
      </c>
      <c r="C43" s="1">
        <v>0.63</v>
      </c>
      <c r="D43" s="1">
        <v>0.21</v>
      </c>
      <c r="E43" s="1">
        <v>0.16</v>
      </c>
    </row>
    <row r="44" spans="1:5">
      <c r="A44">
        <v>18</v>
      </c>
      <c r="B44" t="s">
        <v>50</v>
      </c>
      <c r="C44" s="1">
        <v>0.63</v>
      </c>
      <c r="D44" s="1">
        <v>0.23</v>
      </c>
      <c r="E44" s="1">
        <v>0.14000000000000001</v>
      </c>
    </row>
    <row r="45" spans="1:5">
      <c r="A45">
        <v>14</v>
      </c>
      <c r="B45" t="s">
        <v>51</v>
      </c>
      <c r="C45" s="1">
        <v>0.63</v>
      </c>
      <c r="D45" s="1">
        <v>0.23</v>
      </c>
      <c r="E45" s="1">
        <v>0.14000000000000001</v>
      </c>
    </row>
    <row r="46" spans="1:5">
      <c r="A46">
        <v>11</v>
      </c>
      <c r="B46" t="s">
        <v>52</v>
      </c>
      <c r="C46" s="1">
        <v>0.63</v>
      </c>
      <c r="D46" s="1">
        <v>0.23</v>
      </c>
      <c r="E46" s="1">
        <v>0.14000000000000001</v>
      </c>
    </row>
    <row r="47" spans="1:5">
      <c r="A47">
        <v>10</v>
      </c>
      <c r="B47" t="s">
        <v>53</v>
      </c>
      <c r="C47" s="1">
        <v>0.63</v>
      </c>
      <c r="D47" s="1">
        <v>0.23</v>
      </c>
      <c r="E47" s="1">
        <v>0.14000000000000001</v>
      </c>
    </row>
    <row r="48" spans="1:5">
      <c r="A48">
        <v>39</v>
      </c>
      <c r="B48" t="s">
        <v>54</v>
      </c>
      <c r="C48" s="1">
        <v>0.62</v>
      </c>
      <c r="D48" s="1">
        <v>0.23</v>
      </c>
      <c r="E48" s="1">
        <v>0.15</v>
      </c>
    </row>
    <row r="49" spans="1:5">
      <c r="A49">
        <v>31</v>
      </c>
      <c r="B49" t="s">
        <v>55</v>
      </c>
      <c r="C49" s="1">
        <v>0.62</v>
      </c>
      <c r="D49" s="1">
        <v>0.22</v>
      </c>
      <c r="E49" s="1">
        <v>0.16</v>
      </c>
    </row>
    <row r="50" spans="1:5">
      <c r="A50">
        <v>22</v>
      </c>
      <c r="B50" t="s">
        <v>56</v>
      </c>
      <c r="C50" s="1">
        <v>0.62</v>
      </c>
      <c r="D50" s="1">
        <v>0.21</v>
      </c>
      <c r="E50" s="1">
        <v>0.17</v>
      </c>
    </row>
    <row r="51" spans="1:5">
      <c r="A51">
        <v>8</v>
      </c>
      <c r="B51" t="s">
        <v>57</v>
      </c>
      <c r="C51" s="1">
        <v>0.61</v>
      </c>
      <c r="D51" s="1">
        <v>0.25</v>
      </c>
      <c r="E51" s="1">
        <v>0.14000000000000001</v>
      </c>
    </row>
    <row r="52" spans="1:5">
      <c r="A52">
        <v>21</v>
      </c>
      <c r="B52" t="s">
        <v>58</v>
      </c>
      <c r="C52" s="1">
        <v>0.6</v>
      </c>
      <c r="D52" s="1">
        <v>0.24</v>
      </c>
      <c r="E52" s="1">
        <v>0.16</v>
      </c>
    </row>
  </sheetData>
  <autoFilter ref="A1:E54" xr:uid="{EEC3A360-00E6-4434-98F7-4B5BAE9E9617}">
    <sortState xmlns:xlrd2="http://schemas.microsoft.com/office/spreadsheetml/2017/richdata2" ref="A2:E54">
      <sortCondition descending="1" ref="C1:C5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E1BB-3683-4201-A7F5-DB02B8367287}">
  <dimension ref="A1:AZ4"/>
  <sheetViews>
    <sheetView workbookViewId="0">
      <pane xSplit="1" ySplit="1" topLeftCell="B2" activePane="bottomRight" state="frozen"/>
      <selection pane="bottomRight" activeCell="D8" sqref="D8"/>
      <selection pane="bottomLeft"/>
      <selection pane="topRight"/>
    </sheetView>
  </sheetViews>
  <sheetFormatPr defaultRowHeight="15"/>
  <sheetData>
    <row r="1" spans="1:52">
      <c r="A1" t="s">
        <v>1</v>
      </c>
      <c r="B1" t="s">
        <v>42</v>
      </c>
      <c r="C1" t="s">
        <v>11</v>
      </c>
      <c r="D1" t="s">
        <v>30</v>
      </c>
      <c r="E1" t="s">
        <v>37</v>
      </c>
      <c r="F1" t="s">
        <v>41</v>
      </c>
      <c r="G1" t="s">
        <v>23</v>
      </c>
      <c r="H1" t="s">
        <v>44</v>
      </c>
      <c r="I1" t="s">
        <v>57</v>
      </c>
      <c r="J1" t="s">
        <v>36</v>
      </c>
      <c r="K1" t="s">
        <v>53</v>
      </c>
      <c r="L1" t="s">
        <v>52</v>
      </c>
      <c r="M1" t="s">
        <v>10</v>
      </c>
      <c r="N1" t="s">
        <v>29</v>
      </c>
      <c r="O1" t="s">
        <v>51</v>
      </c>
      <c r="P1" t="s">
        <v>35</v>
      </c>
      <c r="Q1" t="s">
        <v>28</v>
      </c>
      <c r="R1" t="s">
        <v>27</v>
      </c>
      <c r="S1" t="s">
        <v>50</v>
      </c>
      <c r="T1" t="s">
        <v>34</v>
      </c>
      <c r="U1" t="s">
        <v>15</v>
      </c>
      <c r="V1" t="s">
        <v>58</v>
      </c>
      <c r="W1" t="s">
        <v>56</v>
      </c>
      <c r="X1" t="s">
        <v>26</v>
      </c>
      <c r="Y1" t="s">
        <v>22</v>
      </c>
      <c r="Z1" t="s">
        <v>21</v>
      </c>
      <c r="AA1" t="s">
        <v>33</v>
      </c>
      <c r="AB1" t="s">
        <v>9</v>
      </c>
      <c r="AC1" t="s">
        <v>18</v>
      </c>
      <c r="AD1" t="s">
        <v>25</v>
      </c>
      <c r="AE1" t="s">
        <v>40</v>
      </c>
      <c r="AF1" t="s">
        <v>55</v>
      </c>
      <c r="AG1" t="s">
        <v>20</v>
      </c>
      <c r="AH1" t="s">
        <v>49</v>
      </c>
      <c r="AI1" t="s">
        <v>43</v>
      </c>
      <c r="AJ1" t="s">
        <v>14</v>
      </c>
      <c r="AK1" t="s">
        <v>48</v>
      </c>
      <c r="AL1" t="s">
        <v>17</v>
      </c>
      <c r="AM1" t="s">
        <v>16</v>
      </c>
      <c r="AN1" t="s">
        <v>54</v>
      </c>
      <c r="AO1" t="s">
        <v>47</v>
      </c>
      <c r="AP1" t="s">
        <v>39</v>
      </c>
      <c r="AQ1" t="s">
        <v>8</v>
      </c>
      <c r="AR1" t="s">
        <v>38</v>
      </c>
      <c r="AS1" t="s">
        <v>24</v>
      </c>
      <c r="AT1" t="s">
        <v>32</v>
      </c>
      <c r="AU1" t="s">
        <v>13</v>
      </c>
      <c r="AV1" t="s">
        <v>46</v>
      </c>
      <c r="AW1" t="s">
        <v>19</v>
      </c>
      <c r="AX1" t="s">
        <v>45</v>
      </c>
      <c r="AY1" t="s">
        <v>31</v>
      </c>
      <c r="AZ1" t="s">
        <v>12</v>
      </c>
    </row>
    <row r="2" spans="1:52">
      <c r="A2" t="s">
        <v>2</v>
      </c>
      <c r="B2" s="1">
        <v>0.65</v>
      </c>
      <c r="C2" s="1">
        <v>0.72</v>
      </c>
      <c r="D2" s="1">
        <v>0.67</v>
      </c>
      <c r="E2" s="1">
        <v>0.66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0.72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</v>
      </c>
      <c r="W2" s="1">
        <v>0.62</v>
      </c>
      <c r="X2" s="1">
        <v>0.67</v>
      </c>
      <c r="Y2" s="1">
        <v>0.68</v>
      </c>
      <c r="Z2" s="1">
        <v>0.68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0.62</v>
      </c>
      <c r="AG2" s="1">
        <v>0.68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>
      <c r="A3" t="s">
        <v>3</v>
      </c>
      <c r="B3" s="1">
        <v>0.23</v>
      </c>
      <c r="C3" s="1">
        <v>0.15</v>
      </c>
      <c r="D3" s="1">
        <v>0.2</v>
      </c>
      <c r="E3" s="1">
        <v>0.22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0.15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0.24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0.22</v>
      </c>
      <c r="AG3" s="1">
        <v>0.18</v>
      </c>
      <c r="AH3" s="1">
        <v>0.21</v>
      </c>
      <c r="AI3" s="1">
        <v>0.24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>
      <c r="A4" t="s">
        <v>4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0.16</v>
      </c>
      <c r="W4" s="1">
        <v>0.17</v>
      </c>
      <c r="X4" s="1">
        <v>0.13</v>
      </c>
      <c r="Y4" s="1">
        <v>0.13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B27F-ECBE-4EC8-96C8-9EAF23D76BD3}">
  <dimension ref="A1:G26"/>
  <sheetViews>
    <sheetView tabSelected="1" topLeftCell="A6" workbookViewId="0">
      <selection activeCell="G18" sqref="G18"/>
    </sheetView>
  </sheetViews>
  <sheetFormatPr defaultRowHeight="15"/>
  <cols>
    <col min="1" max="1" width="12.85546875" bestFit="1" customWidth="1"/>
    <col min="2" max="2" width="18.140625" bestFit="1" customWidth="1"/>
    <col min="3" max="3" width="17.140625" bestFit="1" customWidth="1"/>
    <col min="4" max="4" width="11" bestFit="1" customWidth="1"/>
    <col min="5" max="5" width="10" bestFit="1" customWidth="1"/>
    <col min="7" max="7" width="21.85546875" customWidth="1"/>
  </cols>
  <sheetData>
    <row r="1" spans="1:7">
      <c r="A1" t="s">
        <v>59</v>
      </c>
      <c r="B1" t="s">
        <v>60</v>
      </c>
      <c r="C1" t="s">
        <v>61</v>
      </c>
      <c r="D1" t="s">
        <v>62</v>
      </c>
      <c r="E1" t="s">
        <v>63</v>
      </c>
      <c r="G1" t="s">
        <v>64</v>
      </c>
    </row>
    <row r="2" spans="1:7">
      <c r="A2" t="s">
        <v>19</v>
      </c>
      <c r="B2" t="s">
        <v>65</v>
      </c>
      <c r="C2" s="1">
        <f>VLOOKUP('sales region lookup'!A2, 'by search term'!B:C, 2, FALSE)</f>
        <v>0.68</v>
      </c>
      <c r="D2" s="1">
        <f>_xlfn.XLOOKUP(A2, 'by search term'!$B$1:$B$52, 'by search term'!$D$1:$D$52, "not found")</f>
        <v>0.18</v>
      </c>
      <c r="E2" s="1">
        <f>INDEX('by search term'!E:E, MATCH('sales region lookup'!A2, 'by search term'!B:B, 0))</f>
        <v>0.14000000000000001</v>
      </c>
    </row>
    <row r="3" spans="1:7">
      <c r="A3" t="s">
        <v>16</v>
      </c>
      <c r="B3" t="s">
        <v>65</v>
      </c>
      <c r="C3" s="1">
        <f>VLOOKUP('sales region lookup'!A3, 'by search term'!B:C, 2, FALSE)</f>
        <v>0.69</v>
      </c>
      <c r="D3" s="1">
        <f>_xlfn.XLOOKUP(A3, 'by search term'!$B$1:$B$52, 'by search term'!$D$1:$D$52, "not found")</f>
        <v>0.17</v>
      </c>
      <c r="E3" s="1">
        <f>INDEX('by search term'!E:E, MATCH('sales region lookup'!A3, 'by search term'!B:B, 0))</f>
        <v>0.14000000000000001</v>
      </c>
    </row>
    <row r="4" spans="1:7">
      <c r="A4" t="s">
        <v>29</v>
      </c>
      <c r="B4" t="s">
        <v>65</v>
      </c>
      <c r="C4" s="1">
        <f>VLOOKUP('sales region lookup'!A4, 'by search term'!B:C, 2, FALSE)</f>
        <v>0.67</v>
      </c>
      <c r="D4" s="1">
        <f>_xlfn.XLOOKUP(A4, 'by search term'!$B$1:$B$52, 'by search term'!$D$1:$D$52, "not found")</f>
        <v>0.2</v>
      </c>
      <c r="E4" s="1">
        <f>INDEX('by search term'!E:E, MATCH('sales region lookup'!A4, 'by search term'!B:B, 0))</f>
        <v>0.13</v>
      </c>
    </row>
    <row r="5" spans="1:7">
      <c r="A5" t="s">
        <v>9</v>
      </c>
      <c r="B5" t="s">
        <v>65</v>
      </c>
      <c r="C5" s="1">
        <f>VLOOKUP('sales region lookup'!A5, 'by search term'!B:C, 2, FALSE)</f>
        <v>0.75</v>
      </c>
      <c r="D5" s="1">
        <f>_xlfn.XLOOKUP(A5, 'by search term'!$B$1:$B$52, 'by search term'!$D$1:$D$52, "not found")</f>
        <v>0.14000000000000001</v>
      </c>
      <c r="E5" s="1">
        <f>INDEX('by search term'!E:E, MATCH('sales region lookup'!A5, 'by search term'!B:B, 0))</f>
        <v>0.11</v>
      </c>
    </row>
    <row r="6" spans="1:7">
      <c r="A6" t="s">
        <v>14</v>
      </c>
      <c r="B6" t="s">
        <v>66</v>
      </c>
      <c r="C6" s="1">
        <f>VLOOKUP('sales region lookup'!A6, 'by search term'!B:C, 2, FALSE)</f>
        <v>0.7</v>
      </c>
      <c r="D6" s="1">
        <f>_xlfn.XLOOKUP(A6, 'by search term'!$B$1:$B$52, 'by search term'!$D$1:$D$52, "not found")</f>
        <v>0.18</v>
      </c>
      <c r="E6" s="1">
        <f>INDEX('by search term'!E:E, MATCH('sales region lookup'!A6, 'by search term'!B:B, 0))</f>
        <v>0.12</v>
      </c>
    </row>
    <row r="7" spans="1:7">
      <c r="A7" t="s">
        <v>8</v>
      </c>
      <c r="B7" t="s">
        <v>66</v>
      </c>
      <c r="C7" s="1">
        <f>VLOOKUP('sales region lookup'!A7, 'by search term'!B:C, 2, FALSE)</f>
        <v>0.75</v>
      </c>
      <c r="D7" s="1">
        <f>_xlfn.XLOOKUP(A7, 'by search term'!$B$1:$B$52, 'by search term'!$D$1:$D$52, "not found")</f>
        <v>0.14000000000000001</v>
      </c>
      <c r="E7" s="1">
        <f>INDEX('by search term'!E:E, MATCH('sales region lookup'!A7, 'by search term'!B:B, 0))</f>
        <v>0.11</v>
      </c>
    </row>
    <row r="8" spans="1:7">
      <c r="A8" t="s">
        <v>18</v>
      </c>
      <c r="B8" t="s">
        <v>66</v>
      </c>
      <c r="C8" s="1">
        <f>VLOOKUP('sales region lookup'!A8, 'by search term'!B:C, 2, FALSE)</f>
        <v>0.69</v>
      </c>
      <c r="D8" s="1">
        <f>_xlfn.XLOOKUP(A8, 'by search term'!$B$1:$B$52, 'by search term'!$D$1:$D$52, "not found")</f>
        <v>0.18</v>
      </c>
      <c r="E8" s="1">
        <f>INDEX('by search term'!E:E, MATCH('sales region lookup'!A8, 'by search term'!B:B, 0))</f>
        <v>0.13</v>
      </c>
    </row>
    <row r="9" spans="1:7">
      <c r="A9" t="s">
        <v>22</v>
      </c>
      <c r="B9" t="s">
        <v>66</v>
      </c>
      <c r="C9" s="1">
        <f>VLOOKUP('sales region lookup'!A9, 'by search term'!B:C, 2, FALSE)</f>
        <v>0.68</v>
      </c>
      <c r="D9" s="1">
        <f>_xlfn.XLOOKUP(A9, 'by search term'!$B$1:$B$52, 'by search term'!$D$1:$D$52, "not found")</f>
        <v>0.19</v>
      </c>
      <c r="E9" s="1">
        <f>INDEX('by search term'!E:E, MATCH('sales region lookup'!A9, 'by search term'!B:B, 0))</f>
        <v>0.13</v>
      </c>
    </row>
    <row r="10" spans="1:7">
      <c r="A10" t="s">
        <v>31</v>
      </c>
      <c r="B10" t="s">
        <v>66</v>
      </c>
      <c r="C10" s="1">
        <f>VLOOKUP('sales region lookup'!A10, 'by search term'!B:C, 2, FALSE)</f>
        <v>0.66</v>
      </c>
      <c r="D10" s="1">
        <f>_xlfn.XLOOKUP(A10, 'by search term'!$B$1:$B$52, 'by search term'!$D$1:$D$52, "not found")</f>
        <v>0.2</v>
      </c>
      <c r="E10" s="1">
        <f>INDEX('by search term'!E:E, MATCH('sales region lookup'!A10, 'by search term'!B:B, 0))</f>
        <v>0.14000000000000001</v>
      </c>
    </row>
    <row r="11" spans="1:7">
      <c r="A11" t="s">
        <v>26</v>
      </c>
      <c r="B11" t="s">
        <v>66</v>
      </c>
      <c r="C11" s="1">
        <f>VLOOKUP('sales region lookup'!A11, 'by search term'!B:C, 2, FALSE)</f>
        <v>0.67</v>
      </c>
      <c r="D11" s="1">
        <f>_xlfn.XLOOKUP(A11, 'by search term'!$B$1:$B$52, 'by search term'!$D$1:$D$52, "not found")</f>
        <v>0.2</v>
      </c>
      <c r="E11" s="1">
        <f>INDEX('by search term'!E:E, MATCH('sales region lookup'!A11, 'by search term'!B:B, 0))</f>
        <v>0.13</v>
      </c>
    </row>
    <row r="13" spans="1:7">
      <c r="A13" s="4" t="s">
        <v>60</v>
      </c>
      <c r="B13" t="s">
        <v>67</v>
      </c>
    </row>
    <row r="15" spans="1:7">
      <c r="A15" s="4" t="s">
        <v>59</v>
      </c>
      <c r="B15" t="s">
        <v>68</v>
      </c>
      <c r="C15" t="s">
        <v>69</v>
      </c>
    </row>
    <row r="16" spans="1:7">
      <c r="A16" t="s">
        <v>29</v>
      </c>
      <c r="B16" s="1">
        <v>0.67</v>
      </c>
      <c r="C16" s="1">
        <v>0.2</v>
      </c>
    </row>
    <row r="17" spans="1:3">
      <c r="A17" t="s">
        <v>26</v>
      </c>
      <c r="B17" s="1">
        <v>0.67</v>
      </c>
      <c r="C17" s="1">
        <v>0.2</v>
      </c>
    </row>
    <row r="18" spans="1:3">
      <c r="A18" t="s">
        <v>22</v>
      </c>
      <c r="B18" s="1">
        <v>0.68</v>
      </c>
      <c r="C18" s="1">
        <v>0.19</v>
      </c>
    </row>
    <row r="19" spans="1:3">
      <c r="A19" t="s">
        <v>9</v>
      </c>
      <c r="B19" s="1">
        <v>0.75</v>
      </c>
      <c r="C19" s="1">
        <v>0.14000000000000001</v>
      </c>
    </row>
    <row r="20" spans="1:3">
      <c r="A20" t="s">
        <v>18</v>
      </c>
      <c r="B20" s="1">
        <v>0.69</v>
      </c>
      <c r="C20" s="1">
        <v>0.18</v>
      </c>
    </row>
    <row r="21" spans="1:3">
      <c r="A21" t="s">
        <v>14</v>
      </c>
      <c r="B21" s="1">
        <v>0.7</v>
      </c>
      <c r="C21" s="1">
        <v>0.18</v>
      </c>
    </row>
    <row r="22" spans="1:3">
      <c r="A22" t="s">
        <v>16</v>
      </c>
      <c r="B22" s="1">
        <v>0.69</v>
      </c>
      <c r="C22" s="1">
        <v>0.17</v>
      </c>
    </row>
    <row r="23" spans="1:3">
      <c r="A23" t="s">
        <v>8</v>
      </c>
      <c r="B23" s="1">
        <v>0.75</v>
      </c>
      <c r="C23" s="1">
        <v>0.14000000000000001</v>
      </c>
    </row>
    <row r="24" spans="1:3">
      <c r="A24" t="s">
        <v>19</v>
      </c>
      <c r="B24" s="1">
        <v>0.68</v>
      </c>
      <c r="C24" s="1">
        <v>0.18</v>
      </c>
    </row>
    <row r="25" spans="1:3">
      <c r="A25" t="s">
        <v>31</v>
      </c>
      <c r="B25" s="1">
        <v>0.66</v>
      </c>
      <c r="C25" s="1">
        <v>0.2</v>
      </c>
    </row>
    <row r="26" spans="1:3">
      <c r="A26" t="s">
        <v>70</v>
      </c>
      <c r="B26" s="1">
        <v>6.9399999999999995</v>
      </c>
      <c r="C26" s="1">
        <v>1.7799999999999998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2026-04-08T05:13:59Z</dcterms:created>
  <dcterms:modified xsi:type="dcterms:W3CDTF">2026-04-08T22:56:15Z</dcterms:modified>
  <cp:category/>
  <cp:contentStatus/>
</cp:coreProperties>
</file>