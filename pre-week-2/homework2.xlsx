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/>
  <xr:revisionPtr revIDLastSave="0" documentId="8_{F42E6AD9-977F-4A65-816C-D3FDA2E05043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tore_Data" sheetId="1" r:id="rId1"/>
    <sheet name="Store_Region_Summary" sheetId="2" r:id="rId2"/>
    <sheet name="Store_Category_Summary" sheetId="3" r:id="rId3"/>
  </sheets>
  <calcPr calcId="191028"/>
  <pivotCaches>
    <pivotCache cacheId="15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<sst xmlns="http://schemas.openxmlformats.org/spreadsheetml/2006/main" count="69" uniqueCount="39">
  <si>
    <t xml:space="preserve">Categorical </t>
  </si>
  <si>
    <t xml:space="preserve">Numerical </t>
  </si>
  <si>
    <t>Store</t>
  </si>
  <si>
    <t>Region</t>
  </si>
  <si>
    <t>Category</t>
  </si>
  <si>
    <t>Monthly Sales</t>
  </si>
  <si>
    <t>Sum of Monthly Sales</t>
  </si>
  <si>
    <t>Store H</t>
  </si>
  <si>
    <t>West</t>
  </si>
  <si>
    <t>Electronics</t>
  </si>
  <si>
    <t>Store H outlier</t>
  </si>
  <si>
    <t>Apparel</t>
  </si>
  <si>
    <t>Store E</t>
  </si>
  <si>
    <t>East</t>
  </si>
  <si>
    <t>Store  A</t>
  </si>
  <si>
    <t>North</t>
  </si>
  <si>
    <t>Home Goods</t>
  </si>
  <si>
    <t>Store L</t>
  </si>
  <si>
    <t>avg</t>
  </si>
  <si>
    <t>Grand Total</t>
  </si>
  <si>
    <t>Store C</t>
  </si>
  <si>
    <t>South</t>
  </si>
  <si>
    <t>median</t>
  </si>
  <si>
    <t>Store J</t>
  </si>
  <si>
    <t>mode</t>
  </si>
  <si>
    <t>Store F</t>
  </si>
  <si>
    <t>Range</t>
  </si>
  <si>
    <t>Store D</t>
  </si>
  <si>
    <t>Store K</t>
  </si>
  <si>
    <t>Store G</t>
  </si>
  <si>
    <t>Store B</t>
  </si>
  <si>
    <t>Store I</t>
  </si>
  <si>
    <t>4.)</t>
  </si>
  <si>
    <t xml:space="preserve">a) Western region has contributed the most. The other regions are under them. </t>
  </si>
  <si>
    <t>b) Store H is contributing to the wests spike in power. H has the highest monthly sales.</t>
  </si>
  <si>
    <t>3.)</t>
  </si>
  <si>
    <t>a) Electronics beats out the other categories.</t>
  </si>
  <si>
    <t>b) Bar charts are easy to read when comparing four totals.</t>
  </si>
  <si>
    <t xml:space="preserve">c) The chart makes it clear that home goods are underperforming.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</si>
</sst>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separator>: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Store_Data!$D$16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4-41E9-84CB-A508A91967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4-41E9-84CB-A508A91967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4-41E9-84CB-A508A91967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A4-41E9-84CB-A508A9196778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eparator>: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Store_Data!$C$17:$C$21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Store_Data!$D$17:$D$21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C1-41B5-B5CB-E188F9AD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Store_Data!$M$3:$M$6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Store_Data!$N$3:$N$6</c:f>
              <c:numCache>
                <c:formatCode>0.00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7-441B-836B-8152372F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855495"/>
        <c:axId val="2137857543"/>
      </c:barChart>
      <c:catAx>
        <c:axId val="213785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57543"/>
        <c:crosses val="autoZero"/>
        <c:auto val="1"/>
        <c:lblAlgn val="ctr"/>
        <c:lblOffset val="100"/>
        <c:noMultiLvlLbl val="0"/>
      </c:catAx>
      <c:valAx>
        <c:axId val="213785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85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14</xdr:row>
      <xdr:rowOff>161925</xdr:rowOff>
    </xdr:from>
    <xdr:to>
      <xdr:col>11</xdr:col>
      <xdr:colOff>295275</xdr:colOff>
      <xdr:row>29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FF282-9F20-C987-6537-9323F40F8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0</xdr:row>
      <xdr:rowOff>180975</xdr:rowOff>
    </xdr:from>
    <xdr:to>
      <xdr:col>21</xdr:col>
      <xdr:colOff>314325</xdr:colOff>
      <xdr:row>15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1A4B09-C4CB-AF6D-DBB5-1CE8E2F43144}"/>
            </a:ext>
            <a:ext uri="{147F2762-F138-4A5C-976F-8EAC2B608ADB}">
              <a16:predDERef xmlns:a16="http://schemas.microsoft.com/office/drawing/2014/main" pred="{C32FF282-9F20-C987-6537-9323F40F8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011860995372" createdVersion="8" refreshedVersion="8" minRefreshableVersion="3" recordCount="12" xr:uid="{0863FA81-28AC-446D-AED7-C836C76E9632}">
  <cacheSource type="worksheet">
    <worksheetSource ref="C2:F14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4">
        <s v="Electronics"/>
        <s v="Apparel"/>
        <s v="Home Goods"/>
        <s v=" Home Goods" u="1"/>
      </sharedItems>
    </cacheField>
    <cacheField name="Monthly Sales" numFmtId="2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D124E-629B-4B3C-BCA7-C89D907D1C54}" name="PivotTable2" cacheId="1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2:N6" firstHeaderRow="1" firstDataRow="1" firstDataCol="1"/>
  <pivotFields count="4">
    <pivotField compact="0" outline="0" showAll="0"/>
    <pivotField compact="0" outline="0" showAll="0"/>
    <pivotField axis="axisRow" compact="0" outline="0" showAll="0">
      <items count="5">
        <item m="1" x="3"/>
        <item x="1"/>
        <item x="0"/>
        <item x="2"/>
        <item t="default"/>
      </items>
    </pivotField>
    <pivotField dataField="1" compact="0" numFmtId="2" outline="0" showAll="0"/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39E4F-71E6-4DD8-9505-AF05EEC1BCBC}" name="PivotTable1" cacheId="1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16:D21" firstHeaderRow="1" firstDataRow="1" firstDataCol="1"/>
  <pivotFields count="4"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21"/>
  <sheetViews>
    <sheetView tabSelected="1" workbookViewId="0">
      <selection activeCell="K12" sqref="K12"/>
    </sheetView>
  </sheetViews>
  <sheetFormatPr defaultRowHeight="15"/>
  <cols>
    <col min="3" max="3" width="11.42578125" bestFit="1" customWidth="1"/>
    <col min="4" max="4" width="20.42578125" bestFit="1" customWidth="1"/>
    <col min="13" max="13" width="12.28515625" bestFit="1" customWidth="1"/>
    <col min="14" max="14" width="20.42578125" bestFit="1" customWidth="1"/>
  </cols>
  <sheetData>
    <row r="1" spans="3:14">
      <c r="C1" s="1" t="s">
        <v>0</v>
      </c>
      <c r="D1" s="1" t="s">
        <v>0</v>
      </c>
      <c r="E1" s="1" t="s">
        <v>0</v>
      </c>
      <c r="F1" s="2" t="s">
        <v>1</v>
      </c>
    </row>
    <row r="2" spans="3:14">
      <c r="C2" t="s">
        <v>2</v>
      </c>
      <c r="D2" t="s">
        <v>3</v>
      </c>
      <c r="E2" t="s">
        <v>4</v>
      </c>
      <c r="F2" s="4" t="s">
        <v>5</v>
      </c>
      <c r="M2" s="3" t="s">
        <v>4</v>
      </c>
      <c r="N2" t="s">
        <v>6</v>
      </c>
    </row>
    <row r="3" spans="3:14">
      <c r="C3" t="s">
        <v>7</v>
      </c>
      <c r="D3" t="s">
        <v>8</v>
      </c>
      <c r="E3" t="s">
        <v>9</v>
      </c>
      <c r="F3" s="4">
        <v>72</v>
      </c>
      <c r="G3">
        <f>_xlfn.NUMBERVALUE(F3)</f>
        <v>72</v>
      </c>
      <c r="H3" s="2" t="s">
        <v>10</v>
      </c>
      <c r="I3" s="2"/>
      <c r="M3" t="s">
        <v>11</v>
      </c>
      <c r="N3" s="4">
        <v>195</v>
      </c>
    </row>
    <row r="4" spans="3:14">
      <c r="C4" t="s">
        <v>12</v>
      </c>
      <c r="D4" t="s">
        <v>13</v>
      </c>
      <c r="E4" t="s">
        <v>9</v>
      </c>
      <c r="F4" s="4">
        <v>52</v>
      </c>
      <c r="G4">
        <f t="shared" ref="F4:G14" si="0">_xlfn.NUMBERVALUE(F4)</f>
        <v>52</v>
      </c>
      <c r="M4" t="s">
        <v>9</v>
      </c>
      <c r="N4" s="4">
        <v>218</v>
      </c>
    </row>
    <row r="5" spans="3:14">
      <c r="C5" t="s">
        <v>14</v>
      </c>
      <c r="D5" t="s">
        <v>15</v>
      </c>
      <c r="E5" t="s">
        <v>11</v>
      </c>
      <c r="F5" s="4">
        <v>51</v>
      </c>
      <c r="G5">
        <f t="shared" si="0"/>
        <v>51</v>
      </c>
      <c r="M5" t="s">
        <v>16</v>
      </c>
      <c r="N5" s="4">
        <v>180</v>
      </c>
    </row>
    <row r="6" spans="3:14">
      <c r="C6" t="s">
        <v>17</v>
      </c>
      <c r="D6" t="s">
        <v>8</v>
      </c>
      <c r="E6" t="s">
        <v>9</v>
      </c>
      <c r="F6" s="4">
        <v>50</v>
      </c>
      <c r="G6">
        <f t="shared" si="0"/>
        <v>50</v>
      </c>
      <c r="H6" t="s">
        <v>18</v>
      </c>
      <c r="I6" s="4">
        <f>AVERAGE(F3:F14)</f>
        <v>49.416666666666664</v>
      </c>
      <c r="M6" t="s">
        <v>19</v>
      </c>
      <c r="N6" s="4">
        <v>593</v>
      </c>
    </row>
    <row r="7" spans="3:14">
      <c r="C7" t="s">
        <v>20</v>
      </c>
      <c r="D7" t="s">
        <v>21</v>
      </c>
      <c r="E7" t="s">
        <v>11</v>
      </c>
      <c r="F7" s="4">
        <v>49</v>
      </c>
      <c r="G7">
        <f t="shared" si="0"/>
        <v>49</v>
      </c>
      <c r="H7" t="s">
        <v>22</v>
      </c>
      <c r="I7" s="4">
        <f>MEDIAN(F3:F14)</f>
        <v>47.5</v>
      </c>
    </row>
    <row r="8" spans="3:14">
      <c r="C8" t="s">
        <v>23</v>
      </c>
      <c r="D8" t="s">
        <v>21</v>
      </c>
      <c r="E8" t="s">
        <v>11</v>
      </c>
      <c r="F8" s="4">
        <v>48</v>
      </c>
      <c r="G8">
        <f t="shared" si="0"/>
        <v>48</v>
      </c>
      <c r="H8" t="s">
        <v>24</v>
      </c>
      <c r="I8">
        <f>_xlfn.MODE.SNGL(F3:F14)</f>
        <v>46</v>
      </c>
    </row>
    <row r="9" spans="3:14">
      <c r="C9" t="s">
        <v>25</v>
      </c>
      <c r="D9" t="s">
        <v>13</v>
      </c>
      <c r="E9" t="s">
        <v>11</v>
      </c>
      <c r="F9" s="4">
        <v>47</v>
      </c>
      <c r="G9">
        <f t="shared" si="0"/>
        <v>47</v>
      </c>
      <c r="H9" t="s">
        <v>26</v>
      </c>
      <c r="I9" s="4">
        <f>MAX(F3:F14)-MIN(F3:F14)</f>
        <v>29</v>
      </c>
    </row>
    <row r="10" spans="3:14">
      <c r="C10" t="s">
        <v>27</v>
      </c>
      <c r="D10" t="s">
        <v>21</v>
      </c>
      <c r="E10" t="s">
        <v>16</v>
      </c>
      <c r="F10" s="4">
        <v>46</v>
      </c>
      <c r="G10">
        <f t="shared" si="0"/>
        <v>46</v>
      </c>
    </row>
    <row r="11" spans="3:14">
      <c r="C11" t="s">
        <v>28</v>
      </c>
      <c r="D11" t="s">
        <v>13</v>
      </c>
      <c r="E11" t="s">
        <v>16</v>
      </c>
      <c r="F11" s="4">
        <v>46</v>
      </c>
      <c r="G11">
        <f t="shared" si="0"/>
        <v>46</v>
      </c>
    </row>
    <row r="12" spans="3:14">
      <c r="C12" t="s">
        <v>29</v>
      </c>
      <c r="D12" t="s">
        <v>8</v>
      </c>
      <c r="E12" t="s">
        <v>16</v>
      </c>
      <c r="F12" s="4">
        <v>45</v>
      </c>
      <c r="G12">
        <f t="shared" si="0"/>
        <v>45</v>
      </c>
    </row>
    <row r="13" spans="3:14">
      <c r="C13" t="s">
        <v>30</v>
      </c>
      <c r="D13" t="s">
        <v>15</v>
      </c>
      <c r="E13" t="s">
        <v>9</v>
      </c>
      <c r="F13" s="4">
        <v>44</v>
      </c>
      <c r="G13">
        <f t="shared" si="0"/>
        <v>44</v>
      </c>
    </row>
    <row r="14" spans="3:14">
      <c r="C14" t="s">
        <v>31</v>
      </c>
      <c r="D14" t="s">
        <v>15</v>
      </c>
      <c r="E14" t="s">
        <v>16</v>
      </c>
      <c r="F14" s="4">
        <v>43</v>
      </c>
      <c r="G14">
        <f t="shared" si="0"/>
        <v>43</v>
      </c>
    </row>
    <row r="15" spans="3:14">
      <c r="H15" s="4"/>
    </row>
    <row r="16" spans="3:14">
      <c r="C16" s="3" t="s">
        <v>3</v>
      </c>
      <c r="D16" t="s">
        <v>6</v>
      </c>
    </row>
    <row r="17" spans="3:4">
      <c r="C17" t="s">
        <v>13</v>
      </c>
      <c r="D17">
        <v>145</v>
      </c>
    </row>
    <row r="18" spans="3:4">
      <c r="C18" t="s">
        <v>15</v>
      </c>
      <c r="D18">
        <v>138</v>
      </c>
    </row>
    <row r="19" spans="3:4">
      <c r="C19" t="s">
        <v>21</v>
      </c>
      <c r="D19">
        <v>143</v>
      </c>
    </row>
    <row r="20" spans="3:4">
      <c r="C20" t="s">
        <v>8</v>
      </c>
      <c r="D20">
        <v>167</v>
      </c>
    </row>
    <row r="21" spans="3:4">
      <c r="C21" t="s">
        <v>19</v>
      </c>
      <c r="D21">
        <v>593</v>
      </c>
    </row>
  </sheetData>
  <sortState xmlns:xlrd2="http://schemas.microsoft.com/office/spreadsheetml/2017/richdata2" ref="C3:F15">
    <sortCondition descending="1" ref="F3:F15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01E0-9C2B-4F6F-815F-7EFFD78B31FB}">
  <dimension ref="A1:A3"/>
  <sheetViews>
    <sheetView workbookViewId="0">
      <selection activeCell="B8" sqref="B8"/>
    </sheetView>
  </sheetViews>
  <sheetFormatPr defaultRowHeight="15"/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1066-3C6E-4AF3-818E-3EC545531F27}">
  <dimension ref="A1:A4"/>
  <sheetViews>
    <sheetView workbookViewId="0">
      <selection activeCell="A4" sqref="A4"/>
    </sheetView>
  </sheetViews>
  <sheetFormatPr defaultRowHeight="15"/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2026-03-27T02:01:22Z</dcterms:created>
  <dcterms:modified xsi:type="dcterms:W3CDTF">2026-03-27T14:35:39Z</dcterms:modified>
  <cp:category/>
  <cp:contentStatus/>
</cp:coreProperties>
</file>