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F89C298-06E0-4BA8-BF74-D590E210558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4" i="1"/>
  <c r="E5" i="1"/>
  <c r="E3" i="1"/>
  <c r="E2" i="1"/>
</calcChain>
</file>

<file path=xl/sharedStrings.xml><?xml version="1.0" encoding="utf-8"?>
<sst xmlns="http://schemas.openxmlformats.org/spreadsheetml/2006/main" count="29" uniqueCount="29">
  <si>
    <t>Stores</t>
  </si>
  <si>
    <t>Monthly Sales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</si>
  <si>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</si>
  <si>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</si>
  <si>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</si>
  <si>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</si>
  <si>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</si>
  <si>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</si>
  <si>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</si>
  <si>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</si>
  <si>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</si>
  <si>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Store F</t>
  </si>
  <si>
    <t>looks</t>
  </si>
  <si>
    <t>72 is a lot</t>
  </si>
  <si>
    <t>Store G</t>
  </si>
  <si>
    <t>normal</t>
  </si>
  <si>
    <t>higher</t>
  </si>
  <si>
    <t>Store H</t>
  </si>
  <si>
    <t>Store I</t>
  </si>
  <si>
    <t>SD</t>
  </si>
  <si>
    <t>Store J</t>
  </si>
  <si>
    <t>SD(no H)</t>
  </si>
  <si>
    <t>Store K</t>
  </si>
  <si>
    <t>Store L</t>
  </si>
  <si>
    <t xml:space="preserve">a lot less </t>
  </si>
  <si>
    <t xml:space="preserve">1.) 
	A.) The average performance stayed around 45-50. (Unless you are asking for the literal average in which case it is 49.4) 
	</t>
  </si>
  <si>
    <t xml:space="preserve">B.) I would say that the performance overall is not spread out and is just being thrown off by the outlier. 
	</t>
  </si>
  <si>
    <r>
      <rPr>
        <sz val="11"/>
        <color rgb="FF000000"/>
        <rFont val="Calibri"/>
        <scheme val="minor"/>
      </rPr>
      <t xml:space="preserve">C.) As I said in B, the 72 score is throwing the variance wide open on this set. 
</t>
    </r>
    <r>
      <rPr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 </t>
    </r>
  </si>
  <si>
    <t xml:space="preserve">D.) Personally I would just want more points in general as 13 is such a small sample size.  I would also like to know if there was an event being hosted at the singular store to see what was throwing the number.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</si>
</sst>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1230E-5214-4CE1-B3B9-1E2C7C18CFDE}" name="Table1" displayName="Table1" ref="A1:B13" totalsRowShown="0">
  <autoFilter ref="A1:B13" xr:uid="{AD81230E-5214-4CE1-B3B9-1E2C7C18CFDE}"/>
  <tableColumns count="2">
    <tableColumn id="1" xr3:uid="{85467503-B1E1-4126-94FF-96A936AFA379}" name="Stores"/>
    <tableColumn id="2" xr3:uid="{7BBADE69-7495-4294-9470-9808A5DFE9CB}" name="Month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7" sqref="F17"/>
    </sheetView>
  </sheetViews>
  <sheetFormatPr defaultRowHeight="15"/>
  <cols>
    <col min="1" max="2" width="11.42578125" bestFit="1" customWidth="1"/>
  </cols>
  <sheetData>
    <row r="1" spans="1:5">
      <c r="A1" t="s">
        <v>0</v>
      </c>
      <c r="B1" t="s">
        <v>1</v>
      </c>
    </row>
    <row r="2" spans="1:5">
      <c r="A2" t="s">
        <v>2</v>
      </c>
      <c r="B2">
        <v>51</v>
      </c>
      <c r="D2" t="s">
        <v>3</v>
      </c>
      <c r="E2">
        <f>AVERAGE(Table1[Monthly Sales])</f>
        <v>49.416666666666664</v>
      </c>
    </row>
    <row r="3" spans="1:5">
      <c r="A3" t="s">
        <v>4</v>
      </c>
      <c r="B3">
        <v>44</v>
      </c>
      <c r="D3" t="s">
        <v>5</v>
      </c>
      <c r="E3">
        <f>MEDIAN(Table1[Monthly Sales])</f>
        <v>47.5</v>
      </c>
    </row>
    <row r="4" spans="1:5">
      <c r="A4" t="s">
        <v>6</v>
      </c>
      <c r="B4">
        <v>49</v>
      </c>
      <c r="D4" t="s">
        <v>7</v>
      </c>
      <c r="E4">
        <f>_xlfn.MODE.SNGL(Table1[Monthly Sales])</f>
        <v>46</v>
      </c>
    </row>
    <row r="5" spans="1:5">
      <c r="A5" t="s">
        <v>8</v>
      </c>
      <c r="B5">
        <v>46</v>
      </c>
      <c r="D5" t="s">
        <v>9</v>
      </c>
      <c r="E5">
        <f>MAX(Table1[Monthly Sales]) - MIN(Table1[Monthly Sales])</f>
        <v>29</v>
      </c>
    </row>
    <row r="6" spans="1:5">
      <c r="A6" t="s">
        <v>10</v>
      </c>
      <c r="B6">
        <v>52</v>
      </c>
    </row>
    <row r="7" spans="1:5">
      <c r="A7" t="s">
        <v>11</v>
      </c>
      <c r="B7">
        <v>47</v>
      </c>
      <c r="D7" t="s">
        <v>12</v>
      </c>
      <c r="E7" t="s">
        <v>13</v>
      </c>
    </row>
    <row r="8" spans="1:5">
      <c r="A8" t="s">
        <v>14</v>
      </c>
      <c r="B8">
        <v>45</v>
      </c>
      <c r="D8" t="s">
        <v>15</v>
      </c>
      <c r="E8" t="s">
        <v>16</v>
      </c>
    </row>
    <row r="9" spans="1:5">
      <c r="A9" t="s">
        <v>17</v>
      </c>
      <c r="B9">
        <v>72</v>
      </c>
    </row>
    <row r="10" spans="1:5">
      <c r="A10" t="s">
        <v>18</v>
      </c>
      <c r="B10">
        <v>43</v>
      </c>
      <c r="D10" t="s">
        <v>19</v>
      </c>
      <c r="E10">
        <f>_xlfn.STDEV.S(Table1[Monthly Sales])</f>
        <v>7.6331613054586773</v>
      </c>
    </row>
    <row r="11" spans="1:5">
      <c r="A11" t="s">
        <v>20</v>
      </c>
      <c r="B11">
        <v>48</v>
      </c>
      <c r="D11" t="s">
        <v>21</v>
      </c>
      <c r="E11">
        <f>_xlfn.STDEV.S(B2:B8,B10,B11,B12,B13)</f>
        <v>2.9076701075853588</v>
      </c>
    </row>
    <row r="12" spans="1:5">
      <c r="A12" t="s">
        <v>22</v>
      </c>
      <c r="B12">
        <v>46</v>
      </c>
    </row>
    <row r="13" spans="1:5">
      <c r="A13" t="s">
        <v>23</v>
      </c>
      <c r="B13">
        <v>50</v>
      </c>
      <c r="D1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7AA5-BAFB-4C4A-98BE-2050E5F9B994}">
  <dimension ref="A1:A4"/>
  <sheetViews>
    <sheetView tabSelected="1" workbookViewId="0"/>
  </sheetViews>
  <sheetFormatPr defaultRowHeight="15"/>
  <sheetData>
    <row r="1" spans="1:1">
      <c r="A1" t="s">
        <v>25</v>
      </c>
    </row>
    <row r="2" spans="1:1">
      <c r="A2" t="s">
        <v>26</v>
      </c>
    </row>
    <row r="3" spans="1:1">
      <c r="A3" s="1" t="s">
        <v>27</v>
      </c>
    </row>
    <row r="4" spans="1:1">
      <c r="A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2026-03-26T17:06:12Z</dcterms:created>
  <dcterms:modified xsi:type="dcterms:W3CDTF">2026-03-27T04:02:48Z</dcterms:modified>
  <cp:category/>
  <cp:contentStatus/>
</cp:coreProperties>
</file>